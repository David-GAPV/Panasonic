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Functional Requirements" sheetId="2" state="visible" r:id="rId4"/>
    <sheet name="Non-Functional Requirement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<sst xmlns="http://schemas.openxmlformats.org/spreadsheetml/2006/main" count="415" uniqueCount="313">
  <si>
    <t xml:space="preserve">Section 3 – Requirements Summary</t>
  </si>
  <si>
    <t xml:space="preserve">Category</t>
  </si>
  <si>
    <t xml:space="preserve">High</t>
  </si>
  <si>
    <t xml:space="preserve">Medium</t>
  </si>
  <si>
    <t xml:space="preserve">Low</t>
  </si>
  <si>
    <t xml:space="preserve">Functional Requirements (FR001-FR030)</t>
  </si>
  <si>
    <t xml:space="preserve">Non-Functional Requirements (NFR001-NFR040)</t>
  </si>
  <si>
    <t xml:space="preserve">Total</t>
  </si>
  <si>
    <t xml:space="preserve">Priority Legend</t>
  </si>
  <si>
    <t xml:space="preserve">High – Must have, critical to system function</t>
  </si>
  <si>
    <t xml:space="preserve">Medium – Important but non-blocking</t>
  </si>
  <si>
    <t xml:space="preserve">Low – Nice to have</t>
  </si>
  <si>
    <t xml:space="preserve">Section 3.1 – Functional Requirements</t>
  </si>
  <si>
    <t xml:space="preserve">Req ID</t>
  </si>
  <si>
    <t xml:space="preserve">Requirement Category</t>
  </si>
  <si>
    <t xml:space="preserve">Requirement Description</t>
  </si>
  <si>
    <t xml:space="preserve">Priority</t>
  </si>
  <si>
    <t xml:space="preserve">Acceptance Criteria</t>
  </si>
  <si>
    <t xml:space="preserve">FR001</t>
  </si>
  <si>
    <t xml:space="preserve">Document Upload</t>
  </si>
  <si>
    <t xml:space="preserve">System shall support document upload via web interface from desktop and mobile devices</t>
  </si>
  <si>
    <t xml:space="preserve">Users can successfully upload documents in PNG, JPEG, PDF, TIFF formats up to 10MB per file</t>
  </si>
  <si>
    <t xml:space="preserve">FR002</t>
  </si>
  <si>
    <t xml:space="preserve">System shall support batch upload of multiple documents simultaneously</t>
  </si>
  <si>
    <t xml:space="preserve">Users can upload up to 50 documents in a single batch operation</t>
  </si>
  <si>
    <t xml:space="preserve">FR003</t>
  </si>
  <si>
    <t xml:space="preserve">System shall provide real-time image quality feedback during upload</t>
  </si>
  <si>
    <t xml:space="preserve">System displays quality score and alerts user if image quality is below acceptable threshold (&lt; 300 DPI)</t>
  </si>
  <si>
    <t xml:space="preserve">FR004</t>
  </si>
  <si>
    <t xml:space="preserve">Document Classification</t>
  </si>
  <si>
    <t xml:space="preserve">System shall automatically classify document types (invoice, packing list, bill of lading, warehouse receipt)</t>
  </si>
  <si>
    <t xml:space="preserve">Document type identified with ≥90% accuracy across all document categories</t>
  </si>
  <si>
    <t xml:space="preserve">FR005</t>
  </si>
  <si>
    <t xml:space="preserve">OCR Extraction</t>
  </si>
  <si>
    <t xml:space="preserve">System shall extract text data from uploaded document images using OCR technology</t>
  </si>
  <si>
    <t xml:space="preserve">Text extraction completed within 10 seconds per document with ≥85% character-level accuracy</t>
  </si>
  <si>
    <t xml:space="preserve">FR006</t>
  </si>
  <si>
    <t xml:space="preserve">System shall support multilingual OCR for Vietnamese and English text</t>
  </si>
  <si>
    <t xml:space="preserve">Accurate extraction of both Vietnamese and English text with diacritical marks preserved</t>
  </si>
  <si>
    <t xml:space="preserve">FR007</t>
  </si>
  <si>
    <t xml:space="preserve">Field Recognition</t>
  </si>
  <si>
    <t xml:space="preserve">System shall identify and extract key fields (invoice number, date, amount, supplier name, line items, etc.)</t>
  </si>
  <si>
    <t xml:space="preserve">Key fields extracted with ≥90% field-level accuracy for standard document formats</t>
  </si>
  <si>
    <t xml:space="preserve">FR008</t>
  </si>
  <si>
    <t xml:space="preserve">Confidence Scoring</t>
  </si>
  <si>
    <t xml:space="preserve">System shall provide confidence scores (0-100%) for each extracted field</t>
  </si>
  <si>
    <t xml:space="preserve">Confidence score assigned to every extracted field based on OCR quality and validation checks</t>
  </si>
  <si>
    <t xml:space="preserve">FR009</t>
  </si>
  <si>
    <t xml:space="preserve">Data Validation</t>
  </si>
  <si>
    <t xml:space="preserve">System shall validate extracted data against business rules (format, mandatory fields, data ranges)</t>
  </si>
  <si>
    <t xml:space="preserve">All business rule violations identified and flagged before data entry</t>
  </si>
  <si>
    <t xml:space="preserve">FR010</t>
  </si>
  <si>
    <t xml:space="preserve">Cross-Verification</t>
  </si>
  <si>
    <t xml:space="preserve">System shall cross-check extracted data against related documents in the system</t>
  </si>
  <si>
    <t xml:space="preserve">Discrepancies between related documents (invoice vs. PO, invoice vs. packing list) automatically detected</t>
  </si>
  <si>
    <t xml:space="preserve">FR011</t>
  </si>
  <si>
    <t xml:space="preserve">Reference Data Validation</t>
  </si>
  <si>
    <t xml:space="preserve">System shall validate extracted data against master data (supplier database, product catalog, HS codes)</t>
  </si>
  <si>
    <t xml:space="preserve">Extracted supplier names, product codes matched against master data with flagging of unmatched entries</t>
  </si>
  <si>
    <t xml:space="preserve">FR012</t>
  </si>
  <si>
    <t xml:space="preserve">External API Integration</t>
  </si>
  <si>
    <t xml:space="preserve">System shall integrate with government customs APIs for real-time validation of customs declarations</t>
  </si>
  <si>
    <t xml:space="preserve">Successful API calls to customs portal with validation results returned within 5 seconds</t>
  </si>
  <si>
    <t xml:space="preserve">FR013</t>
  </si>
  <si>
    <t xml:space="preserve">Exception Handling</t>
  </si>
  <si>
    <t xml:space="preserve">System shall flag documents with low confidence scores (&lt;70%) or validation failures for manual review</t>
  </si>
  <si>
    <t xml:space="preserve">Flagged documents routed to review queue with clear indication of specific issues</t>
  </si>
  <si>
    <t xml:space="preserve">FR014</t>
  </si>
  <si>
    <t xml:space="preserve">Review Queue</t>
  </si>
  <si>
    <t xml:space="preserve">System shall provide a prioritized queue interface for manual review of flagged documents</t>
  </si>
  <si>
    <t xml:space="preserve">Review queue displays documents sorted by priority (business impact, urgency) with filtering capabilities</t>
  </si>
  <si>
    <t xml:space="preserve">FR015</t>
  </si>
  <si>
    <t xml:space="preserve">Review Interface</t>
  </si>
  <si>
    <t xml:space="preserve">System shall display original document image side-by-side with extracted data for reviewer validation</t>
  </si>
  <si>
    <t xml:space="preserve">Reviewers can view original and extracted data simultaneously with highlighted discrepancies</t>
  </si>
  <si>
    <t xml:space="preserve">FR016</t>
  </si>
  <si>
    <t xml:space="preserve">Manual Correction</t>
  </si>
  <si>
    <t xml:space="preserve">System shall allow authorized users to correct extraction errors and override validation flags</t>
  </si>
  <si>
    <t xml:space="preserve">Users can edit extracted fields with changes tracked in audit log</t>
  </si>
  <si>
    <t xml:space="preserve">FR017</t>
  </si>
  <si>
    <t xml:space="preserve">Approval Workflow</t>
  </si>
  <si>
    <t xml:space="preserve">System shall support one-click approval for high-confidence extractions meeting all validation criteria</t>
  </si>
  <si>
    <t xml:space="preserve">Reviewers can approve documents with single click, triggering automated data entry</t>
  </si>
  <si>
    <t xml:space="preserve">FR018</t>
  </si>
  <si>
    <t xml:space="preserve">ERP Integration</t>
  </si>
  <si>
    <t xml:space="preserve">System shall automatically push validated data to SAP ERP system via API</t>
  </si>
  <si>
    <t xml:space="preserve">Successful data insertion into SAP with transaction confirmation and error handling</t>
  </si>
  <si>
    <t xml:space="preserve">FR019</t>
  </si>
  <si>
    <t xml:space="preserve">WMS Integration</t>
  </si>
  <si>
    <t xml:space="preserve">System shall automatically push validated warehouse data to WMS via API</t>
  </si>
  <si>
    <t xml:space="preserve">Successful data insertion into WMS with inventory updates reflected in real-time</t>
  </si>
  <si>
    <t xml:space="preserve">FR020</t>
  </si>
  <si>
    <t xml:space="preserve">Transaction Management</t>
  </si>
  <si>
    <t xml:space="preserve">System shall implement atomic transactions with rollback capability for failed data insertions</t>
  </si>
  <si>
    <t xml:space="preserve">Failed transactions automatically rolled back with no partial data commits; error notifications sent</t>
  </si>
  <si>
    <t xml:space="preserve">FR021</t>
  </si>
  <si>
    <t xml:space="preserve">Audit Trail</t>
  </si>
  <si>
    <t xml:space="preserve">System shall log all document processing activities including upload, extraction, validation, corrections, and approvals</t>
  </si>
  <si>
    <t xml:space="preserve">Complete audit trail maintained with timestamp, user ID, action type, and data changes for all transactions</t>
  </si>
  <si>
    <t xml:space="preserve">FR022</t>
  </si>
  <si>
    <t xml:space="preserve">Error Analytics</t>
  </si>
  <si>
    <t xml:space="preserve">System shall track and categorize error types for continuous improvement analysis</t>
  </si>
  <si>
    <t xml:space="preserve">Error types classified and aggregated in reporting dashboard with trend analysis</t>
  </si>
  <si>
    <t xml:space="preserve">FR023</t>
  </si>
  <si>
    <t xml:space="preserve">User Dashboard</t>
  </si>
  <si>
    <t xml:space="preserve">System shall provide role-based dashboards showing relevant metrics and tasks</t>
  </si>
  <si>
    <t xml:space="preserve">Users see personalized dashboard with pending tasks, recent activities, and key performance indicators</t>
  </si>
  <si>
    <t xml:space="preserve">FR024</t>
  </si>
  <si>
    <t xml:space="preserve">Search Functionality</t>
  </si>
  <si>
    <t xml:space="preserve">System shall allow users to search processed documents by multiple criteria (date range, document type, supplier, status)</t>
  </si>
  <si>
    <t xml:space="preserve">Search results returned within 3 seconds with relevant filtering and sorting options</t>
  </si>
  <si>
    <t xml:space="preserve">FR025</t>
  </si>
  <si>
    <t xml:space="preserve">Document Retrieval</t>
  </si>
  <si>
    <t xml:space="preserve">System shall allow users to retrieve and view original documents and extracted data for processed items</t>
  </si>
  <si>
    <t xml:space="preserve">Users can access original document images and extraction history for any processed document</t>
  </si>
  <si>
    <t xml:space="preserve">FR026</t>
  </si>
  <si>
    <t xml:space="preserve">Notification System</t>
  </si>
  <si>
    <t xml:space="preserve">System shall send notifications to users for documents requiring review and processing status updates</t>
  </si>
  <si>
    <t xml:space="preserve">Email/in-app notifications sent for assigned review tasks and processing completions</t>
  </si>
  <si>
    <t xml:space="preserve">FR027</t>
  </si>
  <si>
    <t xml:space="preserve">User Management</t>
  </si>
  <si>
    <t xml:space="preserve">System shall support role-based access control with different permission levels (uploader, reviewer, administrator)</t>
  </si>
  <si>
    <t xml:space="preserve">User roles enforced with appropriate access restrictions; unauthorized actions blocked</t>
  </si>
  <si>
    <t xml:space="preserve">FR028</t>
  </si>
  <si>
    <t xml:space="preserve">ML Model Training</t>
  </si>
  <si>
    <t xml:space="preserve">System shall capture human corrections and feed them into model retraining pipeline</t>
  </si>
  <si>
    <t xml:space="preserve">Correction data automatically aggregated and used for periodic model retraining cycles</t>
  </si>
  <si>
    <t xml:space="preserve">FR029</t>
  </si>
  <si>
    <t xml:space="preserve">Reporting</t>
  </si>
  <si>
    <t xml:space="preserve">System shall generate standard reports on processing volume, accuracy rates, error types, and cost savings</t>
  </si>
  <si>
    <t xml:space="preserve">Standard reports available on-demand with export to PDF/Excel formats</t>
  </si>
  <si>
    <t xml:space="preserve">FR030</t>
  </si>
  <si>
    <t xml:space="preserve">Data Export</t>
  </si>
  <si>
    <t xml:space="preserve">System shall allow authorized users to export extracted data in standard formats (CSV, Excel, JSON)</t>
  </si>
  <si>
    <t xml:space="preserve">Data export completed with selected fields and filters applied; file download successful</t>
  </si>
  <si>
    <t xml:space="preserve">Section 3.2 – Non-Functional Requirements</t>
  </si>
  <si>
    <t xml:space="preserve">Target Metric</t>
  </si>
  <si>
    <t xml:space="preserve">Measurement Method</t>
  </si>
  <si>
    <t xml:space="preserve">NFR001</t>
  </si>
  <si>
    <t xml:space="preserve">Performance</t>
  </si>
  <si>
    <t xml:space="preserve">System shall process OCR extraction within 10 seconds per document under normal load</t>
  </si>
  <si>
    <t xml:space="preserve">≤10 seconds per document</t>
  </si>
  <si>
    <t xml:space="preserve">Performance monitoring tools measuring processing time from upload to extraction completion</t>
  </si>
  <si>
    <t xml:space="preserve">NFR002</t>
  </si>
  <si>
    <t xml:space="preserve">System shall support 500 concurrent users without performance degradation</t>
  </si>
  <si>
    <t xml:space="preserve">500+ concurrent users</t>
  </si>
  <si>
    <t xml:space="preserve">Load testing with simulated concurrent user sessions</t>
  </si>
  <si>
    <t xml:space="preserve">NFR003</t>
  </si>
  <si>
    <t xml:space="preserve">System response time for user interface interactions shall be under 2 seconds</t>
  </si>
  <si>
    <t xml:space="preserve">≤2 seconds</t>
  </si>
  <si>
    <t xml:space="preserve">Frontend performance monitoring measuring page load and action response times</t>
  </si>
  <si>
    <t xml:space="preserve">NFR004</t>
  </si>
  <si>
    <t xml:space="preserve">System shall handle peak load of 15,000 documents per day (150% of average volume)</t>
  </si>
  <si>
    <t xml:space="preserve">15,000 documents/day</t>
  </si>
  <si>
    <t xml:space="preserve">Load testing simulating peak daily volume</t>
  </si>
  <si>
    <t xml:space="preserve">NFR005</t>
  </si>
  <si>
    <t xml:space="preserve">Scalability</t>
  </si>
  <si>
    <t xml:space="preserve">System architecture shall support horizontal scaling to accommodate 3x volume growth</t>
  </si>
  <si>
    <t xml:space="preserve">3x current capacity</t>
  </si>
  <si>
    <t xml:space="preserve">Architecture review and elastic scaling tests demonstrating capacity expansion</t>
  </si>
  <si>
    <t xml:space="preserve">NFR006</t>
  </si>
  <si>
    <t xml:space="preserve">System shall auto-scale compute resources based on processing queue depth</t>
  </si>
  <si>
    <t xml:space="preserve">Auto-scaling functional</t>
  </si>
  <si>
    <t xml:space="preserve">Cloud monitoring showing automatic resource allocation during load spikes</t>
  </si>
  <si>
    <t xml:space="preserve">NFR007</t>
  </si>
  <si>
    <t xml:space="preserve">Availability</t>
  </si>
  <si>
    <t xml:space="preserve">System shall maintain 99.5% uptime during business hours (6 AM - 10 PM local time)</t>
  </si>
  <si>
    <t xml:space="preserve">≥99.5% uptime</t>
  </si>
  <si>
    <t xml:space="preserve">Uptime monitoring tools calculating availability percentage over monthly periods</t>
  </si>
  <si>
    <t xml:space="preserve">NFR008</t>
  </si>
  <si>
    <t xml:space="preserve">System shall implement automated failover for critical components</t>
  </si>
  <si>
    <t xml:space="preserve">&lt;5 min failover time</t>
  </si>
  <si>
    <t xml:space="preserve">Disaster recovery testing measuring time to restore service after component failure</t>
  </si>
  <si>
    <t xml:space="preserve">NFR009</t>
  </si>
  <si>
    <t xml:space="preserve">Reliability</t>
  </si>
  <si>
    <t xml:space="preserve">System shall maintain data integrity with zero data loss during processing failures</t>
  </si>
  <si>
    <t xml:space="preserve">0% data loss</t>
  </si>
  <si>
    <t xml:space="preserve">Transaction monitoring and audit log verification after failure scenarios</t>
  </si>
  <si>
    <t xml:space="preserve">NFR010</t>
  </si>
  <si>
    <t xml:space="preserve">System shall implement transaction rollback for failed data insertions</t>
  </si>
  <si>
    <t xml:space="preserve">100% rollback success</t>
  </si>
  <si>
    <t xml:space="preserve">Testing failed transaction scenarios and verifying complete rollback</t>
  </si>
  <si>
    <t xml:space="preserve">NFR011</t>
  </si>
  <si>
    <t xml:space="preserve">Security</t>
  </si>
  <si>
    <t xml:space="preserve">System shall encrypt all data in transit using TLS 1.3 or higher</t>
  </si>
  <si>
    <t xml:space="preserve">TLS 1.3+</t>
  </si>
  <si>
    <t xml:space="preserve">Security scanning tools verifying encryption protocols on all communication channels</t>
  </si>
  <si>
    <t xml:space="preserve">NFR012</t>
  </si>
  <si>
    <t xml:space="preserve">System shall encrypt all data at rest using AES-256 encryption</t>
  </si>
  <si>
    <t xml:space="preserve">AES-256 encryption</t>
  </si>
  <si>
    <t xml:space="preserve">Database and storage configuration review confirming encryption standards</t>
  </si>
  <si>
    <t xml:space="preserve">NFR013</t>
  </si>
  <si>
    <t xml:space="preserve">System shall implement multi-factor authentication (MFA) for all user access</t>
  </si>
  <si>
    <t xml:space="preserve">100% MFA coverage</t>
  </si>
  <si>
    <t xml:space="preserve">Authentication logs showing MFA enforcement for all login attempts</t>
  </si>
  <si>
    <t xml:space="preserve">NFR014</t>
  </si>
  <si>
    <t xml:space="preserve">System shall enforce role-based access control (RBAC) with principle of least privilege</t>
  </si>
  <si>
    <t xml:space="preserve">RBAC fully enforced</t>
  </si>
  <si>
    <t xml:space="preserve">Access control testing verifying permission restrictions across user roles</t>
  </si>
  <si>
    <t xml:space="preserve">NFR015</t>
  </si>
  <si>
    <t xml:space="preserve">System shall maintain comprehensive audit logs for all user actions and system events</t>
  </si>
  <si>
    <t xml:space="preserve">100% action logging</t>
  </si>
  <si>
    <t xml:space="preserve">Audit log review confirming capture of all security-relevant events</t>
  </si>
  <si>
    <t xml:space="preserve">NFR016</t>
  </si>
  <si>
    <t xml:space="preserve">System shall implement automated security scanning and vulnerability detection</t>
  </si>
  <si>
    <t xml:space="preserve">Weekly security scans</t>
  </si>
  <si>
    <t xml:space="preserve">Automated security scanning tools running continuously with vulnerability reports</t>
  </si>
  <si>
    <t xml:space="preserve">NFR017</t>
  </si>
  <si>
    <t xml:space="preserve">Compliance</t>
  </si>
  <si>
    <t xml:space="preserve">System shall maintain audit trails meeting regulatory requirements for 7+ years</t>
  </si>
  <si>
    <t xml:space="preserve">7 year retention</t>
  </si>
  <si>
    <t xml:space="preserve">Audit log retention policy configuration and verification</t>
  </si>
  <si>
    <t xml:space="preserve">NFR018</t>
  </si>
  <si>
    <t xml:space="preserve">System shall provide immutable audit logs preventing tampering or deletion</t>
  </si>
  <si>
    <t xml:space="preserve">Immutable logging</t>
  </si>
  <si>
    <t xml:space="preserve">Audit log architecture review confirming write-once, append-only design</t>
  </si>
  <si>
    <t xml:space="preserve">NFR019</t>
  </si>
  <si>
    <t xml:space="preserve">System shall support customs and tax documentation requirements for Vietnam</t>
  </si>
  <si>
    <t xml:space="preserve">Full compliance</t>
  </si>
  <si>
    <t xml:space="preserve">Compliance review by legal team confirming adherence to Vietnamese regulations</t>
  </si>
  <si>
    <t xml:space="preserve">NFR020</t>
  </si>
  <si>
    <t xml:space="preserve">Usability</t>
  </si>
  <si>
    <t xml:space="preserve">System user interface shall be intuitive requiring minimal training (&lt; 2 hours for basic operations)</t>
  </si>
  <si>
    <t xml:space="preserve">≤2 hour training</t>
  </si>
  <si>
    <t xml:space="preserve">User acceptance testing measuring time to proficiency for new users</t>
  </si>
  <si>
    <t xml:space="preserve">NFR021</t>
  </si>
  <si>
    <t xml:space="preserve">System shall provide mobile-responsive interface supporting iOS and Android devices</t>
  </si>
  <si>
    <t xml:space="preserve">Full mobile support</t>
  </si>
  <si>
    <t xml:space="preserve">Cross-device testing confirming functionality on mobile browsers and devices</t>
  </si>
  <si>
    <t xml:space="preserve">NFR022</t>
  </si>
  <si>
    <t xml:space="preserve">System shall support Vietnamese and English language interfaces</t>
  </si>
  <si>
    <t xml:space="preserve">2 languages</t>
  </si>
  <si>
    <t xml:space="preserve">UI testing verifying complete localization for both languages</t>
  </si>
  <si>
    <t xml:space="preserve">NFR023</t>
  </si>
  <si>
    <t xml:space="preserve">System shall provide context-sensitive help and tooltips for all major functions</t>
  </si>
  <si>
    <t xml:space="preserve">Help available</t>
  </si>
  <si>
    <t xml:space="preserve">Usability review confirming help content coverage across all features</t>
  </si>
  <si>
    <t xml:space="preserve">NFR024</t>
  </si>
  <si>
    <t xml:space="preserve">Maintainability</t>
  </si>
  <si>
    <t xml:space="preserve">System shall use modular architecture allowing component updates without full system downtime</t>
  </si>
  <si>
    <t xml:space="preserve">Zero-downtime updates</t>
  </si>
  <si>
    <t xml:space="preserve">Architecture review and deployment testing verifying rolling update capability</t>
  </si>
  <si>
    <t xml:space="preserve">NFR025</t>
  </si>
  <si>
    <t xml:space="preserve">System code shall maintain test coverage of at least 80% for critical functions</t>
  </si>
  <si>
    <t xml:space="preserve">≥80% test coverage</t>
  </si>
  <si>
    <t xml:space="preserve">Code analysis tools measuring unit and integration test coverage</t>
  </si>
  <si>
    <t xml:space="preserve">NFR026</t>
  </si>
  <si>
    <t xml:space="preserve">System shall provide comprehensive technical documentation for all components</t>
  </si>
  <si>
    <t xml:space="preserve">Complete documentation</t>
  </si>
  <si>
    <t xml:space="preserve">Documentation review confirming coverage of architecture, APIs, and operations</t>
  </si>
  <si>
    <t xml:space="preserve">NFR027</t>
  </si>
  <si>
    <t xml:space="preserve">Interoperability</t>
  </si>
  <si>
    <t xml:space="preserve">System shall expose RESTful APIs with JSON data format for third-party integration</t>
  </si>
  <si>
    <t xml:space="preserve">REST API available</t>
  </si>
  <si>
    <t xml:space="preserve">API documentation and testing verifying standard REST principles</t>
  </si>
  <si>
    <t xml:space="preserve">NFR028</t>
  </si>
  <si>
    <t xml:space="preserve">System shall integrate with SAP ERP using standard SAP APIs or RFC protocols</t>
  </si>
  <si>
    <t xml:space="preserve">SAP integration functional</t>
  </si>
  <si>
    <t xml:space="preserve">Integration testing confirming successful data exchange with SAP system</t>
  </si>
  <si>
    <t xml:space="preserve">NFR029</t>
  </si>
  <si>
    <t xml:space="preserve">System shall integrate with WMS using standard API protocols</t>
  </si>
  <si>
    <t xml:space="preserve">WMS integration functional</t>
  </si>
  <si>
    <t xml:space="preserve">Integration testing confirming successful data exchange with WMS</t>
  </si>
  <si>
    <t xml:space="preserve">NFR030</t>
  </si>
  <si>
    <t xml:space="preserve">Disaster Recovery</t>
  </si>
  <si>
    <t xml:space="preserve">System shall implement automated daily backups with 24-hour recovery point objective (RPO)</t>
  </si>
  <si>
    <t xml:space="preserve">RPO ≤24 hours</t>
  </si>
  <si>
    <t xml:space="preserve">Backup verification and recovery testing demonstrating data restoration capability</t>
  </si>
  <si>
    <t xml:space="preserve">NFR031</t>
  </si>
  <si>
    <t xml:space="preserve">System shall support recovery time objective (RTO) of 4 hours for critical functions</t>
  </si>
  <si>
    <t xml:space="preserve">RTO ≤4 hours</t>
  </si>
  <si>
    <t xml:space="preserve">Disaster recovery testing measuring time to restore critical system functions</t>
  </si>
  <si>
    <t xml:space="preserve">NFR032</t>
  </si>
  <si>
    <t xml:space="preserve">Monitoring</t>
  </si>
  <si>
    <t xml:space="preserve">System shall provide real-time monitoring dashboard for system health and performance metrics</t>
  </si>
  <si>
    <t xml:space="preserve">Real-time monitoring</t>
  </si>
  <si>
    <t xml:space="preserve">Monitoring dashboard displaying live metrics for all critical system components</t>
  </si>
  <si>
    <t xml:space="preserve">NFR033</t>
  </si>
  <si>
    <t xml:space="preserve">System shall generate automated alerts for anomalies, errors, and performance degradation</t>
  </si>
  <si>
    <t xml:space="preserve">Automated alerting</t>
  </si>
  <si>
    <t xml:space="preserve">Alert configuration testing verifying notifications for defined threshold violations</t>
  </si>
  <si>
    <t xml:space="preserve">NFR034</t>
  </si>
  <si>
    <t xml:space="preserve">Accuracy</t>
  </si>
  <si>
    <t xml:space="preserve">OCR extraction shall achieve minimum 85% character-level accuracy across all document types</t>
  </si>
  <si>
    <t xml:space="preserve">≥85% accuracy</t>
  </si>
  <si>
    <t xml:space="preserve">Regular accuracy testing using sample document sets with known ground truth</t>
  </si>
  <si>
    <t xml:space="preserve">NFR035</t>
  </si>
  <si>
    <t xml:space="preserve">Field extraction shall achieve minimum 90% field-level accuracy for standard documents</t>
  </si>
  <si>
    <t xml:space="preserve">≥90% accuracy</t>
  </si>
  <si>
    <t xml:space="preserve">Field-level validation testing comparing extractions against manual verification</t>
  </si>
  <si>
    <t xml:space="preserve">NFR036</t>
  </si>
  <si>
    <t xml:space="preserve">System shall detect at least 95% of data mismatches and discrepancies during validation</t>
  </si>
  <si>
    <t xml:space="preserve">≥95% detection rate</t>
  </si>
  <si>
    <t xml:space="preserve">Validation testing using intentionally mismatched test documents</t>
  </si>
  <si>
    <t xml:space="preserve">NFR037</t>
  </si>
  <si>
    <t xml:space="preserve">Capacity</t>
  </si>
  <si>
    <t xml:space="preserve">System shall support storage of 150GB annual data growth including documents and metadata</t>
  </si>
  <si>
    <t xml:space="preserve">150GB+/year capacity</t>
  </si>
  <si>
    <t xml:space="preserve">Storage capacity monitoring and planning for projected growth</t>
  </si>
  <si>
    <t xml:space="preserve">NFR038</t>
  </si>
  <si>
    <t xml:space="preserve">System database shall support 2.5+ million document records annually without performance degradation</t>
  </si>
  <si>
    <t xml:space="preserve">2.5M+ records/year</t>
  </si>
  <si>
    <t xml:space="preserve">Database performance testing with scaled record volumes</t>
  </si>
  <si>
    <t xml:space="preserve">NFR039</t>
  </si>
  <si>
    <t xml:space="preserve">Localization</t>
  </si>
  <si>
    <t xml:space="preserve">System shall properly handle Vietnamese diacritical marks in all text processing</t>
  </si>
  <si>
    <t xml:space="preserve">Full Vietnamese support</t>
  </si>
  <si>
    <t xml:space="preserve">Text processing testing verifying correct handling of all Vietnamese characters</t>
  </si>
  <si>
    <t xml:space="preserve">NFR040</t>
  </si>
  <si>
    <t xml:space="preserve">Cost Efficiency</t>
  </si>
  <si>
    <t xml:space="preserve">System infrastructure costs shall remain under $0.01 per document processed</t>
  </si>
  <si>
    <t xml:space="preserve">≤$0.01/document</t>
  </si>
  <si>
    <t xml:space="preserve">Cost monitoring tracking actual infrastructure costs per document over time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</si>
</sst>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name val="Arial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2E75B6"/>
        <bgColor rgb="FF0066CC"/>
      </patternFill>
    </fill>
    <fill>
      <patternFill patternType="solid">
        <fgColor rgb="FFFFFFFF"/>
        <bgColor rgb="FFEBF3FB"/>
      </patternFill>
    </fill>
    <fill>
      <patternFill patternType="solid">
        <fgColor rgb="FFEBF3FB"/>
        <bgColor rgb="FFFFFFFF"/>
      </patternFill>
    </fill>
    <fill>
      <patternFill patternType="solid">
        <fgColor rgb="FFFF0000"/>
        <bgColor rgb="FF993300"/>
      </patternFill>
    </fill>
    <fill>
      <patternFill patternType="solid">
        <fgColor rgb="FFFF9900"/>
        <bgColor rgb="FFFFCC00"/>
      </patternFill>
    </fill>
    <fill>
      <patternFill patternType="solid">
        <fgColor rgb="FF92D050"/>
        <bgColor rgb="FFC0C0C0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6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5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6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5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6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7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8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5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8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EBF3FB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2D05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4" min="2" style="0" width="12"/>
  </cols>
  <sheetData>
    <row r="1" customFormat="false" ht="30" hidden="false" customHeight="true" outlineLevel="0" collapsed="false">
      <c r="A1" s="1" t="s">
        <v>0</v>
      </c>
      <c r="B1" s="1"/>
      <c r="C1" s="1"/>
      <c r="D1" s="1"/>
    </row>
    <row r="2" customFormat="false" ht="24" hidden="false" customHeight="true" outlineLevel="0" collapsed="false">
      <c r="A2" s="2" t="s">
        <v>1</v>
      </c>
      <c r="B2" s="2" t="s">
        <v>2</v>
      </c>
      <c r="C2" s="2" t="s">
        <v>3</v>
      </c>
      <c r="D2" s="2" t="s">
        <v>4</v>
      </c>
    </row>
    <row r="3" customFormat="false" ht="27.75" hidden="false" customHeight="true" outlineLevel="0" collapsed="false">
      <c r="A3" s="3" t="s">
        <v>5</v>
      </c>
      <c r="B3" s="4" t="n">
        <f aca="false">COUNTIFS('Functional Requirements'!D3:D32,"High")</f>
        <v>18</v>
      </c>
      <c r="C3" s="4" t="n">
        <f aca="false">COUNTIFS('Functional Requirements'!D3:D32,"Medium")</f>
        <v>10</v>
      </c>
      <c r="D3" s="4" t="n">
        <f aca="false">COUNTIFS('Functional Requirements'!D3:D32,"Low")</f>
        <v>2</v>
      </c>
    </row>
    <row r="4" customFormat="false" ht="27.75" hidden="false" customHeight="true" outlineLevel="0" collapsed="false">
      <c r="A4" s="5" t="s">
        <v>6</v>
      </c>
      <c r="B4" s="6" t="n">
        <f aca="false">COUNTIFS('Non-Functional Requirements'!F3:F42,"High")</f>
        <v>28</v>
      </c>
      <c r="C4" s="6" t="n">
        <f aca="false">COUNTIFS('Non-Functional Requirements'!F3:F42,"Medium")</f>
        <v>11</v>
      </c>
      <c r="D4" s="6" t="n">
        <f aca="false">COUNTIFS('Non-Functional Requirements'!F3:F42,"Low")</f>
        <v>1</v>
      </c>
    </row>
    <row r="5" customFormat="false" ht="27.75" hidden="false" customHeight="true" outlineLevel="0" collapsed="false">
      <c r="A5" s="7" t="s">
        <v>7</v>
      </c>
      <c r="B5" s="8" t="n">
        <f aca="false">B3+B4</f>
        <v>46</v>
      </c>
      <c r="C5" s="8" t="n">
        <f aca="false">C3+C4</f>
        <v>21</v>
      </c>
      <c r="D5" s="8" t="n">
        <f aca="false">D3+D4</f>
        <v>3</v>
      </c>
    </row>
    <row r="6" customFormat="false" ht="24" hidden="false" customHeight="true" outlineLevel="0" collapsed="false">
      <c r="A6" s="9" t="s">
        <v>8</v>
      </c>
      <c r="B6" s="9"/>
      <c r="C6" s="9"/>
      <c r="D6" s="9"/>
    </row>
    <row r="7" customFormat="false" ht="21.75" hidden="false" customHeight="true" outlineLevel="0" collapsed="false">
      <c r="A7" s="10" t="s">
        <v>9</v>
      </c>
      <c r="B7" s="10"/>
      <c r="C7" s="10"/>
      <c r="D7" s="10"/>
    </row>
    <row r="8" customFormat="false" ht="21.75" hidden="false" customHeight="true" outlineLevel="0" collapsed="false">
      <c r="A8" s="11" t="s">
        <v>10</v>
      </c>
      <c r="B8" s="11"/>
      <c r="C8" s="11"/>
      <c r="D8" s="11"/>
    </row>
    <row r="9" customFormat="false" ht="21.75" hidden="false" customHeight="true" outlineLevel="0" collapsed="false">
      <c r="A9" s="12" t="s">
        <v>11</v>
      </c>
      <c r="B9" s="12"/>
      <c r="C9" s="12"/>
      <c r="D9" s="12"/>
    </row>
  </sheetData>
  <mergeCells count="5">
    <mergeCell ref="A1:D1"/>
    <mergeCell ref="A6:D6"/>
    <mergeCell ref="A7:D7"/>
    <mergeCell ref="A8:D8"/>
    <mergeCell ref="A9:D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8"/>
    <col collapsed="false" customWidth="true" hidden="false" outlineLevel="0" max="3" min="3" style="0" width="52"/>
    <col collapsed="false" customWidth="true" hidden="false" outlineLevel="0" max="4" min="4" style="0" width="12"/>
    <col collapsed="false" customWidth="true" hidden="false" outlineLevel="0" max="5" min="5" style="0" width="52"/>
  </cols>
  <sheetData>
    <row r="1" customFormat="false" ht="30" hidden="false" customHeight="true" outlineLevel="0" collapsed="false">
      <c r="A1" s="1" t="s">
        <v>12</v>
      </c>
      <c r="B1" s="1"/>
      <c r="C1" s="1"/>
      <c r="D1" s="1"/>
      <c r="E1" s="1"/>
    </row>
    <row r="2" customFormat="false" ht="30" hidden="false" customHeight="true" outlineLevel="0" collapsed="false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</row>
    <row r="3" customFormat="false" ht="45" hidden="false" customHeight="true" outlineLevel="0" collapsed="false">
      <c r="A3" s="13" t="s">
        <v>18</v>
      </c>
      <c r="B3" s="14" t="s">
        <v>19</v>
      </c>
      <c r="C3" s="14" t="s">
        <v>20</v>
      </c>
      <c r="D3" s="15" t="s">
        <v>2</v>
      </c>
      <c r="E3" s="14" t="s">
        <v>21</v>
      </c>
    </row>
    <row r="4" customFormat="false" ht="45" hidden="false" customHeight="true" outlineLevel="0" collapsed="false">
      <c r="A4" s="16" t="s">
        <v>22</v>
      </c>
      <c r="B4" s="17" t="s">
        <v>19</v>
      </c>
      <c r="C4" s="17" t="s">
        <v>23</v>
      </c>
      <c r="D4" s="18" t="s">
        <v>3</v>
      </c>
      <c r="E4" s="17" t="s">
        <v>24</v>
      </c>
    </row>
    <row r="5" customFormat="false" ht="45" hidden="false" customHeight="true" outlineLevel="0" collapsed="false">
      <c r="A5" s="13" t="s">
        <v>25</v>
      </c>
      <c r="B5" s="14" t="s">
        <v>19</v>
      </c>
      <c r="C5" s="14" t="s">
        <v>26</v>
      </c>
      <c r="D5" s="15" t="s">
        <v>2</v>
      </c>
      <c r="E5" s="14" t="s">
        <v>27</v>
      </c>
    </row>
    <row r="6" customFormat="false" ht="45" hidden="false" customHeight="true" outlineLevel="0" collapsed="false">
      <c r="A6" s="16" t="s">
        <v>28</v>
      </c>
      <c r="B6" s="17" t="s">
        <v>29</v>
      </c>
      <c r="C6" s="17" t="s">
        <v>30</v>
      </c>
      <c r="D6" s="15" t="s">
        <v>2</v>
      </c>
      <c r="E6" s="17" t="s">
        <v>31</v>
      </c>
    </row>
    <row r="7" customFormat="false" ht="45" hidden="false" customHeight="true" outlineLevel="0" collapsed="false">
      <c r="A7" s="13" t="s">
        <v>32</v>
      </c>
      <c r="B7" s="14" t="s">
        <v>33</v>
      </c>
      <c r="C7" s="14" t="s">
        <v>34</v>
      </c>
      <c r="D7" s="15" t="s">
        <v>2</v>
      </c>
      <c r="E7" s="14" t="s">
        <v>35</v>
      </c>
    </row>
    <row r="8" customFormat="false" ht="45" hidden="false" customHeight="true" outlineLevel="0" collapsed="false">
      <c r="A8" s="16" t="s">
        <v>36</v>
      </c>
      <c r="B8" s="17" t="s">
        <v>33</v>
      </c>
      <c r="C8" s="17" t="s">
        <v>37</v>
      </c>
      <c r="D8" s="15" t="s">
        <v>2</v>
      </c>
      <c r="E8" s="17" t="s">
        <v>38</v>
      </c>
    </row>
    <row r="9" customFormat="false" ht="45" hidden="false" customHeight="true" outlineLevel="0" collapsed="false">
      <c r="A9" s="13" t="s">
        <v>39</v>
      </c>
      <c r="B9" s="14" t="s">
        <v>40</v>
      </c>
      <c r="C9" s="14" t="s">
        <v>41</v>
      </c>
      <c r="D9" s="15" t="s">
        <v>2</v>
      </c>
      <c r="E9" s="14" t="s">
        <v>42</v>
      </c>
    </row>
    <row r="10" customFormat="false" ht="45" hidden="false" customHeight="true" outlineLevel="0" collapsed="false">
      <c r="A10" s="16" t="s">
        <v>43</v>
      </c>
      <c r="B10" s="17" t="s">
        <v>44</v>
      </c>
      <c r="C10" s="17" t="s">
        <v>45</v>
      </c>
      <c r="D10" s="15" t="s">
        <v>2</v>
      </c>
      <c r="E10" s="17" t="s">
        <v>46</v>
      </c>
    </row>
    <row r="11" customFormat="false" ht="45" hidden="false" customHeight="true" outlineLevel="0" collapsed="false">
      <c r="A11" s="13" t="s">
        <v>47</v>
      </c>
      <c r="B11" s="14" t="s">
        <v>48</v>
      </c>
      <c r="C11" s="14" t="s">
        <v>49</v>
      </c>
      <c r="D11" s="15" t="s">
        <v>2</v>
      </c>
      <c r="E11" s="14" t="s">
        <v>50</v>
      </c>
    </row>
    <row r="12" customFormat="false" ht="45" hidden="false" customHeight="true" outlineLevel="0" collapsed="false">
      <c r="A12" s="16" t="s">
        <v>51</v>
      </c>
      <c r="B12" s="17" t="s">
        <v>52</v>
      </c>
      <c r="C12" s="17" t="s">
        <v>53</v>
      </c>
      <c r="D12" s="15" t="s">
        <v>2</v>
      </c>
      <c r="E12" s="17" t="s">
        <v>54</v>
      </c>
    </row>
    <row r="13" customFormat="false" ht="45" hidden="false" customHeight="true" outlineLevel="0" collapsed="false">
      <c r="A13" s="13" t="s">
        <v>55</v>
      </c>
      <c r="B13" s="14" t="s">
        <v>56</v>
      </c>
      <c r="C13" s="14" t="s">
        <v>57</v>
      </c>
      <c r="D13" s="18" t="s">
        <v>3</v>
      </c>
      <c r="E13" s="14" t="s">
        <v>58</v>
      </c>
    </row>
    <row r="14" customFormat="false" ht="45" hidden="false" customHeight="true" outlineLevel="0" collapsed="false">
      <c r="A14" s="16" t="s">
        <v>59</v>
      </c>
      <c r="B14" s="17" t="s">
        <v>60</v>
      </c>
      <c r="C14" s="17" t="s">
        <v>61</v>
      </c>
      <c r="D14" s="18" t="s">
        <v>3</v>
      </c>
      <c r="E14" s="17" t="s">
        <v>62</v>
      </c>
    </row>
    <row r="15" customFormat="false" ht="45" hidden="false" customHeight="true" outlineLevel="0" collapsed="false">
      <c r="A15" s="13" t="s">
        <v>63</v>
      </c>
      <c r="B15" s="14" t="s">
        <v>64</v>
      </c>
      <c r="C15" s="14" t="s">
        <v>65</v>
      </c>
      <c r="D15" s="15" t="s">
        <v>2</v>
      </c>
      <c r="E15" s="14" t="s">
        <v>66</v>
      </c>
    </row>
    <row r="16" customFormat="false" ht="45" hidden="false" customHeight="true" outlineLevel="0" collapsed="false">
      <c r="A16" s="16" t="s">
        <v>67</v>
      </c>
      <c r="B16" s="17" t="s">
        <v>68</v>
      </c>
      <c r="C16" s="17" t="s">
        <v>69</v>
      </c>
      <c r="D16" s="15" t="s">
        <v>2</v>
      </c>
      <c r="E16" s="17" t="s">
        <v>70</v>
      </c>
    </row>
    <row r="17" customFormat="false" ht="45" hidden="false" customHeight="true" outlineLevel="0" collapsed="false">
      <c r="A17" s="13" t="s">
        <v>71</v>
      </c>
      <c r="B17" s="14" t="s">
        <v>72</v>
      </c>
      <c r="C17" s="14" t="s">
        <v>73</v>
      </c>
      <c r="D17" s="15" t="s">
        <v>2</v>
      </c>
      <c r="E17" s="14" t="s">
        <v>74</v>
      </c>
    </row>
    <row r="18" customFormat="false" ht="45" hidden="false" customHeight="true" outlineLevel="0" collapsed="false">
      <c r="A18" s="16" t="s">
        <v>75</v>
      </c>
      <c r="B18" s="17" t="s">
        <v>76</v>
      </c>
      <c r="C18" s="17" t="s">
        <v>77</v>
      </c>
      <c r="D18" s="15" t="s">
        <v>2</v>
      </c>
      <c r="E18" s="17" t="s">
        <v>78</v>
      </c>
    </row>
    <row r="19" customFormat="false" ht="45" hidden="false" customHeight="true" outlineLevel="0" collapsed="false">
      <c r="A19" s="13" t="s">
        <v>79</v>
      </c>
      <c r="B19" s="14" t="s">
        <v>80</v>
      </c>
      <c r="C19" s="14" t="s">
        <v>81</v>
      </c>
      <c r="D19" s="18" t="s">
        <v>3</v>
      </c>
      <c r="E19" s="14" t="s">
        <v>82</v>
      </c>
    </row>
    <row r="20" customFormat="false" ht="45" hidden="false" customHeight="true" outlineLevel="0" collapsed="false">
      <c r="A20" s="16" t="s">
        <v>83</v>
      </c>
      <c r="B20" s="17" t="s">
        <v>84</v>
      </c>
      <c r="C20" s="17" t="s">
        <v>85</v>
      </c>
      <c r="D20" s="15" t="s">
        <v>2</v>
      </c>
      <c r="E20" s="17" t="s">
        <v>86</v>
      </c>
    </row>
    <row r="21" customFormat="false" ht="45" hidden="false" customHeight="true" outlineLevel="0" collapsed="false">
      <c r="A21" s="13" t="s">
        <v>87</v>
      </c>
      <c r="B21" s="14" t="s">
        <v>88</v>
      </c>
      <c r="C21" s="14" t="s">
        <v>89</v>
      </c>
      <c r="D21" s="15" t="s">
        <v>2</v>
      </c>
      <c r="E21" s="14" t="s">
        <v>90</v>
      </c>
    </row>
    <row r="22" customFormat="false" ht="45" hidden="false" customHeight="true" outlineLevel="0" collapsed="false">
      <c r="A22" s="16" t="s">
        <v>91</v>
      </c>
      <c r="B22" s="17" t="s">
        <v>92</v>
      </c>
      <c r="C22" s="17" t="s">
        <v>93</v>
      </c>
      <c r="D22" s="15" t="s">
        <v>2</v>
      </c>
      <c r="E22" s="17" t="s">
        <v>94</v>
      </c>
    </row>
    <row r="23" customFormat="false" ht="45" hidden="false" customHeight="true" outlineLevel="0" collapsed="false">
      <c r="A23" s="13" t="s">
        <v>95</v>
      </c>
      <c r="B23" s="14" t="s">
        <v>96</v>
      </c>
      <c r="C23" s="14" t="s">
        <v>97</v>
      </c>
      <c r="D23" s="15" t="s">
        <v>2</v>
      </c>
      <c r="E23" s="14" t="s">
        <v>98</v>
      </c>
    </row>
    <row r="24" customFormat="false" ht="45" hidden="false" customHeight="true" outlineLevel="0" collapsed="false">
      <c r="A24" s="16" t="s">
        <v>99</v>
      </c>
      <c r="B24" s="17" t="s">
        <v>100</v>
      </c>
      <c r="C24" s="17" t="s">
        <v>101</v>
      </c>
      <c r="D24" s="18" t="s">
        <v>3</v>
      </c>
      <c r="E24" s="17" t="s">
        <v>102</v>
      </c>
    </row>
    <row r="25" customFormat="false" ht="45" hidden="false" customHeight="true" outlineLevel="0" collapsed="false">
      <c r="A25" s="13" t="s">
        <v>103</v>
      </c>
      <c r="B25" s="14" t="s">
        <v>104</v>
      </c>
      <c r="C25" s="14" t="s">
        <v>105</v>
      </c>
      <c r="D25" s="18" t="s">
        <v>3</v>
      </c>
      <c r="E25" s="14" t="s">
        <v>106</v>
      </c>
    </row>
    <row r="26" customFormat="false" ht="45" hidden="false" customHeight="true" outlineLevel="0" collapsed="false">
      <c r="A26" s="16" t="s">
        <v>107</v>
      </c>
      <c r="B26" s="17" t="s">
        <v>108</v>
      </c>
      <c r="C26" s="17" t="s">
        <v>109</v>
      </c>
      <c r="D26" s="18" t="s">
        <v>3</v>
      </c>
      <c r="E26" s="17" t="s">
        <v>110</v>
      </c>
    </row>
    <row r="27" customFormat="false" ht="45" hidden="false" customHeight="true" outlineLevel="0" collapsed="false">
      <c r="A27" s="13" t="s">
        <v>111</v>
      </c>
      <c r="B27" s="14" t="s">
        <v>112</v>
      </c>
      <c r="C27" s="14" t="s">
        <v>113</v>
      </c>
      <c r="D27" s="18" t="s">
        <v>3</v>
      </c>
      <c r="E27" s="14" t="s">
        <v>114</v>
      </c>
    </row>
    <row r="28" customFormat="false" ht="45" hidden="false" customHeight="true" outlineLevel="0" collapsed="false">
      <c r="A28" s="16" t="s">
        <v>115</v>
      </c>
      <c r="B28" s="17" t="s">
        <v>116</v>
      </c>
      <c r="C28" s="17" t="s">
        <v>117</v>
      </c>
      <c r="D28" s="19" t="s">
        <v>4</v>
      </c>
      <c r="E28" s="17" t="s">
        <v>118</v>
      </c>
    </row>
    <row r="29" customFormat="false" ht="45" hidden="false" customHeight="true" outlineLevel="0" collapsed="false">
      <c r="A29" s="13" t="s">
        <v>119</v>
      </c>
      <c r="B29" s="14" t="s">
        <v>120</v>
      </c>
      <c r="C29" s="14" t="s">
        <v>121</v>
      </c>
      <c r="D29" s="15" t="s">
        <v>2</v>
      </c>
      <c r="E29" s="14" t="s">
        <v>122</v>
      </c>
    </row>
    <row r="30" customFormat="false" ht="45" hidden="false" customHeight="true" outlineLevel="0" collapsed="false">
      <c r="A30" s="16" t="s">
        <v>123</v>
      </c>
      <c r="B30" s="17" t="s">
        <v>124</v>
      </c>
      <c r="C30" s="17" t="s">
        <v>125</v>
      </c>
      <c r="D30" s="18" t="s">
        <v>3</v>
      </c>
      <c r="E30" s="17" t="s">
        <v>126</v>
      </c>
    </row>
    <row r="31" customFormat="false" ht="45" hidden="false" customHeight="true" outlineLevel="0" collapsed="false">
      <c r="A31" s="13" t="s">
        <v>127</v>
      </c>
      <c r="B31" s="14" t="s">
        <v>128</v>
      </c>
      <c r="C31" s="14" t="s">
        <v>129</v>
      </c>
      <c r="D31" s="18" t="s">
        <v>3</v>
      </c>
      <c r="E31" s="14" t="s">
        <v>130</v>
      </c>
    </row>
    <row r="32" customFormat="false" ht="45" hidden="false" customHeight="true" outlineLevel="0" collapsed="false">
      <c r="A32" s="16" t="s">
        <v>131</v>
      </c>
      <c r="B32" s="17" t="s">
        <v>132</v>
      </c>
      <c r="C32" s="17" t="s">
        <v>133</v>
      </c>
      <c r="D32" s="19" t="s">
        <v>4</v>
      </c>
      <c r="E32" s="17" t="s">
        <v>134</v>
      </c>
    </row>
  </sheetData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4"/>
    <col collapsed="false" customWidth="true" hidden="false" outlineLevel="0" max="3" min="3" style="0" width="52"/>
    <col collapsed="false" customWidth="true" hidden="false" outlineLevel="0" max="4" min="4" style="0" width="24"/>
    <col collapsed="false" customWidth="true" hidden="false" outlineLevel="0" max="5" min="5" style="0" width="44"/>
    <col collapsed="false" customWidth="true" hidden="false" outlineLevel="0" max="6" min="6" style="0" width="12"/>
  </cols>
  <sheetData>
    <row r="1" customFormat="false" ht="30" hidden="false" customHeight="true" outlineLevel="0" collapsed="false">
      <c r="A1" s="1" t="s">
        <v>135</v>
      </c>
      <c r="B1" s="1"/>
      <c r="C1" s="1"/>
      <c r="D1" s="1"/>
      <c r="E1" s="1"/>
      <c r="F1" s="1"/>
    </row>
    <row r="2" customFormat="false" ht="30" hidden="false" customHeight="true" outlineLevel="0" collapsed="false">
      <c r="A2" s="2" t="s">
        <v>13</v>
      </c>
      <c r="B2" s="2" t="s">
        <v>14</v>
      </c>
      <c r="C2" s="2" t="s">
        <v>15</v>
      </c>
      <c r="D2" s="2" t="s">
        <v>136</v>
      </c>
      <c r="E2" s="2" t="s">
        <v>137</v>
      </c>
      <c r="F2" s="2" t="s">
        <v>16</v>
      </c>
    </row>
    <row r="3" customFormat="false" ht="39.75" hidden="false" customHeight="true" outlineLevel="0" collapsed="false">
      <c r="A3" s="13" t="s">
        <v>138</v>
      </c>
      <c r="B3" s="14" t="s">
        <v>139</v>
      </c>
      <c r="C3" s="14" t="s">
        <v>140</v>
      </c>
      <c r="D3" s="13" t="s">
        <v>141</v>
      </c>
      <c r="E3" s="14" t="s">
        <v>142</v>
      </c>
      <c r="F3" s="15" t="s">
        <v>2</v>
      </c>
    </row>
    <row r="4" customFormat="false" ht="39.75" hidden="false" customHeight="true" outlineLevel="0" collapsed="false">
      <c r="A4" s="16" t="s">
        <v>143</v>
      </c>
      <c r="B4" s="17" t="s">
        <v>139</v>
      </c>
      <c r="C4" s="17" t="s">
        <v>144</v>
      </c>
      <c r="D4" s="16" t="s">
        <v>145</v>
      </c>
      <c r="E4" s="17" t="s">
        <v>146</v>
      </c>
      <c r="F4" s="15" t="s">
        <v>2</v>
      </c>
    </row>
    <row r="5" customFormat="false" ht="39.75" hidden="false" customHeight="true" outlineLevel="0" collapsed="false">
      <c r="A5" s="13" t="s">
        <v>147</v>
      </c>
      <c r="B5" s="14" t="s">
        <v>139</v>
      </c>
      <c r="C5" s="14" t="s">
        <v>148</v>
      </c>
      <c r="D5" s="13" t="s">
        <v>149</v>
      </c>
      <c r="E5" s="14" t="s">
        <v>150</v>
      </c>
      <c r="F5" s="15" t="s">
        <v>2</v>
      </c>
    </row>
    <row r="6" customFormat="false" ht="39.75" hidden="false" customHeight="true" outlineLevel="0" collapsed="false">
      <c r="A6" s="16" t="s">
        <v>151</v>
      </c>
      <c r="B6" s="17" t="s">
        <v>139</v>
      </c>
      <c r="C6" s="17" t="s">
        <v>152</v>
      </c>
      <c r="D6" s="16" t="s">
        <v>153</v>
      </c>
      <c r="E6" s="17" t="s">
        <v>154</v>
      </c>
      <c r="F6" s="15" t="s">
        <v>2</v>
      </c>
    </row>
    <row r="7" customFormat="false" ht="39.75" hidden="false" customHeight="true" outlineLevel="0" collapsed="false">
      <c r="A7" s="13" t="s">
        <v>155</v>
      </c>
      <c r="B7" s="14" t="s">
        <v>156</v>
      </c>
      <c r="C7" s="14" t="s">
        <v>157</v>
      </c>
      <c r="D7" s="13" t="s">
        <v>158</v>
      </c>
      <c r="E7" s="14" t="s">
        <v>159</v>
      </c>
      <c r="F7" s="15" t="s">
        <v>2</v>
      </c>
    </row>
    <row r="8" customFormat="false" ht="39.75" hidden="false" customHeight="true" outlineLevel="0" collapsed="false">
      <c r="A8" s="16" t="s">
        <v>160</v>
      </c>
      <c r="B8" s="17" t="s">
        <v>156</v>
      </c>
      <c r="C8" s="17" t="s">
        <v>161</v>
      </c>
      <c r="D8" s="16" t="s">
        <v>162</v>
      </c>
      <c r="E8" s="17" t="s">
        <v>163</v>
      </c>
      <c r="F8" s="18" t="s">
        <v>3</v>
      </c>
    </row>
    <row r="9" customFormat="false" ht="39.75" hidden="false" customHeight="true" outlineLevel="0" collapsed="false">
      <c r="A9" s="13" t="s">
        <v>164</v>
      </c>
      <c r="B9" s="14" t="s">
        <v>165</v>
      </c>
      <c r="C9" s="14" t="s">
        <v>166</v>
      </c>
      <c r="D9" s="13" t="s">
        <v>167</v>
      </c>
      <c r="E9" s="14" t="s">
        <v>168</v>
      </c>
      <c r="F9" s="15" t="s">
        <v>2</v>
      </c>
    </row>
    <row r="10" customFormat="false" ht="39.75" hidden="false" customHeight="true" outlineLevel="0" collapsed="false">
      <c r="A10" s="16" t="s">
        <v>169</v>
      </c>
      <c r="B10" s="17" t="s">
        <v>165</v>
      </c>
      <c r="C10" s="17" t="s">
        <v>170</v>
      </c>
      <c r="D10" s="16" t="s">
        <v>171</v>
      </c>
      <c r="E10" s="17" t="s">
        <v>172</v>
      </c>
      <c r="F10" s="15" t="s">
        <v>2</v>
      </c>
    </row>
    <row r="11" customFormat="false" ht="39.75" hidden="false" customHeight="true" outlineLevel="0" collapsed="false">
      <c r="A11" s="13" t="s">
        <v>173</v>
      </c>
      <c r="B11" s="14" t="s">
        <v>174</v>
      </c>
      <c r="C11" s="14" t="s">
        <v>175</v>
      </c>
      <c r="D11" s="13" t="s">
        <v>176</v>
      </c>
      <c r="E11" s="14" t="s">
        <v>177</v>
      </c>
      <c r="F11" s="15" t="s">
        <v>2</v>
      </c>
    </row>
    <row r="12" customFormat="false" ht="39.75" hidden="false" customHeight="true" outlineLevel="0" collapsed="false">
      <c r="A12" s="16" t="s">
        <v>178</v>
      </c>
      <c r="B12" s="17" t="s">
        <v>174</v>
      </c>
      <c r="C12" s="17" t="s">
        <v>179</v>
      </c>
      <c r="D12" s="16" t="s">
        <v>180</v>
      </c>
      <c r="E12" s="17" t="s">
        <v>181</v>
      </c>
      <c r="F12" s="15" t="s">
        <v>2</v>
      </c>
    </row>
    <row r="13" customFormat="false" ht="39.75" hidden="false" customHeight="true" outlineLevel="0" collapsed="false">
      <c r="A13" s="13" t="s">
        <v>182</v>
      </c>
      <c r="B13" s="14" t="s">
        <v>183</v>
      </c>
      <c r="C13" s="14" t="s">
        <v>184</v>
      </c>
      <c r="D13" s="13" t="s">
        <v>185</v>
      </c>
      <c r="E13" s="14" t="s">
        <v>186</v>
      </c>
      <c r="F13" s="15" t="s">
        <v>2</v>
      </c>
    </row>
    <row r="14" customFormat="false" ht="39.75" hidden="false" customHeight="true" outlineLevel="0" collapsed="false">
      <c r="A14" s="16" t="s">
        <v>187</v>
      </c>
      <c r="B14" s="17" t="s">
        <v>183</v>
      </c>
      <c r="C14" s="17" t="s">
        <v>188</v>
      </c>
      <c r="D14" s="16" t="s">
        <v>189</v>
      </c>
      <c r="E14" s="17" t="s">
        <v>190</v>
      </c>
      <c r="F14" s="15" t="s">
        <v>2</v>
      </c>
    </row>
    <row r="15" customFormat="false" ht="39.75" hidden="false" customHeight="true" outlineLevel="0" collapsed="false">
      <c r="A15" s="13" t="s">
        <v>191</v>
      </c>
      <c r="B15" s="14" t="s">
        <v>183</v>
      </c>
      <c r="C15" s="14" t="s">
        <v>192</v>
      </c>
      <c r="D15" s="13" t="s">
        <v>193</v>
      </c>
      <c r="E15" s="14" t="s">
        <v>194</v>
      </c>
      <c r="F15" s="15" t="s">
        <v>2</v>
      </c>
    </row>
    <row r="16" customFormat="false" ht="39.75" hidden="false" customHeight="true" outlineLevel="0" collapsed="false">
      <c r="A16" s="16" t="s">
        <v>195</v>
      </c>
      <c r="B16" s="17" t="s">
        <v>183</v>
      </c>
      <c r="C16" s="17" t="s">
        <v>196</v>
      </c>
      <c r="D16" s="16" t="s">
        <v>197</v>
      </c>
      <c r="E16" s="17" t="s">
        <v>198</v>
      </c>
      <c r="F16" s="15" t="s">
        <v>2</v>
      </c>
    </row>
    <row r="17" customFormat="false" ht="39.75" hidden="false" customHeight="true" outlineLevel="0" collapsed="false">
      <c r="A17" s="13" t="s">
        <v>199</v>
      </c>
      <c r="B17" s="14" t="s">
        <v>183</v>
      </c>
      <c r="C17" s="14" t="s">
        <v>200</v>
      </c>
      <c r="D17" s="13" t="s">
        <v>201</v>
      </c>
      <c r="E17" s="14" t="s">
        <v>202</v>
      </c>
      <c r="F17" s="15" t="s">
        <v>2</v>
      </c>
    </row>
    <row r="18" customFormat="false" ht="39.75" hidden="false" customHeight="true" outlineLevel="0" collapsed="false">
      <c r="A18" s="16" t="s">
        <v>203</v>
      </c>
      <c r="B18" s="17" t="s">
        <v>183</v>
      </c>
      <c r="C18" s="17" t="s">
        <v>204</v>
      </c>
      <c r="D18" s="16" t="s">
        <v>205</v>
      </c>
      <c r="E18" s="17" t="s">
        <v>206</v>
      </c>
      <c r="F18" s="18" t="s">
        <v>3</v>
      </c>
    </row>
    <row r="19" customFormat="false" ht="39.75" hidden="false" customHeight="true" outlineLevel="0" collapsed="false">
      <c r="A19" s="13" t="s">
        <v>207</v>
      </c>
      <c r="B19" s="14" t="s">
        <v>208</v>
      </c>
      <c r="C19" s="14" t="s">
        <v>209</v>
      </c>
      <c r="D19" s="13" t="s">
        <v>210</v>
      </c>
      <c r="E19" s="14" t="s">
        <v>211</v>
      </c>
      <c r="F19" s="15" t="s">
        <v>2</v>
      </c>
    </row>
    <row r="20" customFormat="false" ht="39.75" hidden="false" customHeight="true" outlineLevel="0" collapsed="false">
      <c r="A20" s="16" t="s">
        <v>212</v>
      </c>
      <c r="B20" s="17" t="s">
        <v>208</v>
      </c>
      <c r="C20" s="17" t="s">
        <v>213</v>
      </c>
      <c r="D20" s="16" t="s">
        <v>214</v>
      </c>
      <c r="E20" s="17" t="s">
        <v>215</v>
      </c>
      <c r="F20" s="15" t="s">
        <v>2</v>
      </c>
    </row>
    <row r="21" customFormat="false" ht="39.75" hidden="false" customHeight="true" outlineLevel="0" collapsed="false">
      <c r="A21" s="13" t="s">
        <v>216</v>
      </c>
      <c r="B21" s="14" t="s">
        <v>208</v>
      </c>
      <c r="C21" s="14" t="s">
        <v>217</v>
      </c>
      <c r="D21" s="13" t="s">
        <v>218</v>
      </c>
      <c r="E21" s="14" t="s">
        <v>219</v>
      </c>
      <c r="F21" s="15" t="s">
        <v>2</v>
      </c>
    </row>
    <row r="22" customFormat="false" ht="39.75" hidden="false" customHeight="true" outlineLevel="0" collapsed="false">
      <c r="A22" s="16" t="s">
        <v>220</v>
      </c>
      <c r="B22" s="17" t="s">
        <v>221</v>
      </c>
      <c r="C22" s="17" t="s">
        <v>222</v>
      </c>
      <c r="D22" s="16" t="s">
        <v>223</v>
      </c>
      <c r="E22" s="17" t="s">
        <v>224</v>
      </c>
      <c r="F22" s="18" t="s">
        <v>3</v>
      </c>
    </row>
    <row r="23" customFormat="false" ht="39.75" hidden="false" customHeight="true" outlineLevel="0" collapsed="false">
      <c r="A23" s="13" t="s">
        <v>225</v>
      </c>
      <c r="B23" s="14" t="s">
        <v>221</v>
      </c>
      <c r="C23" s="14" t="s">
        <v>226</v>
      </c>
      <c r="D23" s="13" t="s">
        <v>227</v>
      </c>
      <c r="E23" s="14" t="s">
        <v>228</v>
      </c>
      <c r="F23" s="15" t="s">
        <v>2</v>
      </c>
    </row>
    <row r="24" customFormat="false" ht="39.75" hidden="false" customHeight="true" outlineLevel="0" collapsed="false">
      <c r="A24" s="16" t="s">
        <v>229</v>
      </c>
      <c r="B24" s="17" t="s">
        <v>221</v>
      </c>
      <c r="C24" s="17" t="s">
        <v>230</v>
      </c>
      <c r="D24" s="16" t="s">
        <v>231</v>
      </c>
      <c r="E24" s="17" t="s">
        <v>232</v>
      </c>
      <c r="F24" s="15" t="s">
        <v>2</v>
      </c>
    </row>
    <row r="25" customFormat="false" ht="39.75" hidden="false" customHeight="true" outlineLevel="0" collapsed="false">
      <c r="A25" s="13" t="s">
        <v>233</v>
      </c>
      <c r="B25" s="14" t="s">
        <v>221</v>
      </c>
      <c r="C25" s="14" t="s">
        <v>234</v>
      </c>
      <c r="D25" s="13" t="s">
        <v>235</v>
      </c>
      <c r="E25" s="14" t="s">
        <v>236</v>
      </c>
      <c r="F25" s="19" t="s">
        <v>4</v>
      </c>
    </row>
    <row r="26" customFormat="false" ht="39.75" hidden="false" customHeight="true" outlineLevel="0" collapsed="false">
      <c r="A26" s="16" t="s">
        <v>237</v>
      </c>
      <c r="B26" s="17" t="s">
        <v>238</v>
      </c>
      <c r="C26" s="17" t="s">
        <v>239</v>
      </c>
      <c r="D26" s="16" t="s">
        <v>240</v>
      </c>
      <c r="E26" s="17" t="s">
        <v>241</v>
      </c>
      <c r="F26" s="18" t="s">
        <v>3</v>
      </c>
    </row>
    <row r="27" customFormat="false" ht="39.75" hidden="false" customHeight="true" outlineLevel="0" collapsed="false">
      <c r="A27" s="13" t="s">
        <v>242</v>
      </c>
      <c r="B27" s="14" t="s">
        <v>238</v>
      </c>
      <c r="C27" s="14" t="s">
        <v>243</v>
      </c>
      <c r="D27" s="13" t="s">
        <v>244</v>
      </c>
      <c r="E27" s="14" t="s">
        <v>245</v>
      </c>
      <c r="F27" s="18" t="s">
        <v>3</v>
      </c>
    </row>
    <row r="28" customFormat="false" ht="39.75" hidden="false" customHeight="true" outlineLevel="0" collapsed="false">
      <c r="A28" s="16" t="s">
        <v>246</v>
      </c>
      <c r="B28" s="17" t="s">
        <v>238</v>
      </c>
      <c r="C28" s="17" t="s">
        <v>247</v>
      </c>
      <c r="D28" s="16" t="s">
        <v>248</v>
      </c>
      <c r="E28" s="17" t="s">
        <v>249</v>
      </c>
      <c r="F28" s="18" t="s">
        <v>3</v>
      </c>
    </row>
    <row r="29" customFormat="false" ht="39.75" hidden="false" customHeight="true" outlineLevel="0" collapsed="false">
      <c r="A29" s="13" t="s">
        <v>250</v>
      </c>
      <c r="B29" s="14" t="s">
        <v>251</v>
      </c>
      <c r="C29" s="14" t="s">
        <v>252</v>
      </c>
      <c r="D29" s="13" t="s">
        <v>253</v>
      </c>
      <c r="E29" s="14" t="s">
        <v>254</v>
      </c>
      <c r="F29" s="15" t="s">
        <v>2</v>
      </c>
    </row>
    <row r="30" customFormat="false" ht="39.75" hidden="false" customHeight="true" outlineLevel="0" collapsed="false">
      <c r="A30" s="16" t="s">
        <v>255</v>
      </c>
      <c r="B30" s="17" t="s">
        <v>251</v>
      </c>
      <c r="C30" s="17" t="s">
        <v>256</v>
      </c>
      <c r="D30" s="16" t="s">
        <v>257</v>
      </c>
      <c r="E30" s="17" t="s">
        <v>258</v>
      </c>
      <c r="F30" s="15" t="s">
        <v>2</v>
      </c>
    </row>
    <row r="31" customFormat="false" ht="39.75" hidden="false" customHeight="true" outlineLevel="0" collapsed="false">
      <c r="A31" s="13" t="s">
        <v>259</v>
      </c>
      <c r="B31" s="14" t="s">
        <v>251</v>
      </c>
      <c r="C31" s="14" t="s">
        <v>260</v>
      </c>
      <c r="D31" s="13" t="s">
        <v>261</v>
      </c>
      <c r="E31" s="14" t="s">
        <v>262</v>
      </c>
      <c r="F31" s="15" t="s">
        <v>2</v>
      </c>
    </row>
    <row r="32" customFormat="false" ht="39.75" hidden="false" customHeight="true" outlineLevel="0" collapsed="false">
      <c r="A32" s="16" t="s">
        <v>263</v>
      </c>
      <c r="B32" s="17" t="s">
        <v>264</v>
      </c>
      <c r="C32" s="17" t="s">
        <v>265</v>
      </c>
      <c r="D32" s="16" t="s">
        <v>266</v>
      </c>
      <c r="E32" s="17" t="s">
        <v>267</v>
      </c>
      <c r="F32" s="15" t="s">
        <v>2</v>
      </c>
    </row>
    <row r="33" customFormat="false" ht="39.75" hidden="false" customHeight="true" outlineLevel="0" collapsed="false">
      <c r="A33" s="13" t="s">
        <v>268</v>
      </c>
      <c r="B33" s="14" t="s">
        <v>264</v>
      </c>
      <c r="C33" s="14" t="s">
        <v>269</v>
      </c>
      <c r="D33" s="13" t="s">
        <v>270</v>
      </c>
      <c r="E33" s="14" t="s">
        <v>271</v>
      </c>
      <c r="F33" s="15" t="s">
        <v>2</v>
      </c>
    </row>
    <row r="34" customFormat="false" ht="39.75" hidden="false" customHeight="true" outlineLevel="0" collapsed="false">
      <c r="A34" s="16" t="s">
        <v>272</v>
      </c>
      <c r="B34" s="17" t="s">
        <v>273</v>
      </c>
      <c r="C34" s="17" t="s">
        <v>274</v>
      </c>
      <c r="D34" s="16" t="s">
        <v>275</v>
      </c>
      <c r="E34" s="17" t="s">
        <v>276</v>
      </c>
      <c r="F34" s="18" t="s">
        <v>3</v>
      </c>
    </row>
    <row r="35" customFormat="false" ht="39.75" hidden="false" customHeight="true" outlineLevel="0" collapsed="false">
      <c r="A35" s="13" t="s">
        <v>277</v>
      </c>
      <c r="B35" s="14" t="s">
        <v>273</v>
      </c>
      <c r="C35" s="14" t="s">
        <v>278</v>
      </c>
      <c r="D35" s="13" t="s">
        <v>279</v>
      </c>
      <c r="E35" s="14" t="s">
        <v>280</v>
      </c>
      <c r="F35" s="18" t="s">
        <v>3</v>
      </c>
    </row>
    <row r="36" customFormat="false" ht="39.75" hidden="false" customHeight="true" outlineLevel="0" collapsed="false">
      <c r="A36" s="16" t="s">
        <v>281</v>
      </c>
      <c r="B36" s="17" t="s">
        <v>282</v>
      </c>
      <c r="C36" s="17" t="s">
        <v>283</v>
      </c>
      <c r="D36" s="16" t="s">
        <v>284</v>
      </c>
      <c r="E36" s="17" t="s">
        <v>285</v>
      </c>
      <c r="F36" s="15" t="s">
        <v>2</v>
      </c>
    </row>
    <row r="37" customFormat="false" ht="39.75" hidden="false" customHeight="true" outlineLevel="0" collapsed="false">
      <c r="A37" s="13" t="s">
        <v>286</v>
      </c>
      <c r="B37" s="14" t="s">
        <v>282</v>
      </c>
      <c r="C37" s="14" t="s">
        <v>287</v>
      </c>
      <c r="D37" s="13" t="s">
        <v>288</v>
      </c>
      <c r="E37" s="14" t="s">
        <v>289</v>
      </c>
      <c r="F37" s="15" t="s">
        <v>2</v>
      </c>
    </row>
    <row r="38" customFormat="false" ht="39.75" hidden="false" customHeight="true" outlineLevel="0" collapsed="false">
      <c r="A38" s="16" t="s">
        <v>290</v>
      </c>
      <c r="B38" s="17" t="s">
        <v>282</v>
      </c>
      <c r="C38" s="17" t="s">
        <v>291</v>
      </c>
      <c r="D38" s="16" t="s">
        <v>292</v>
      </c>
      <c r="E38" s="17" t="s">
        <v>293</v>
      </c>
      <c r="F38" s="15" t="s">
        <v>2</v>
      </c>
    </row>
    <row r="39" customFormat="false" ht="39.75" hidden="false" customHeight="true" outlineLevel="0" collapsed="false">
      <c r="A39" s="13" t="s">
        <v>294</v>
      </c>
      <c r="B39" s="14" t="s">
        <v>295</v>
      </c>
      <c r="C39" s="14" t="s">
        <v>296</v>
      </c>
      <c r="D39" s="13" t="s">
        <v>297</v>
      </c>
      <c r="E39" s="14" t="s">
        <v>298</v>
      </c>
      <c r="F39" s="18" t="s">
        <v>3</v>
      </c>
    </row>
    <row r="40" customFormat="false" ht="39.75" hidden="false" customHeight="true" outlineLevel="0" collapsed="false">
      <c r="A40" s="16" t="s">
        <v>299</v>
      </c>
      <c r="B40" s="17" t="s">
        <v>295</v>
      </c>
      <c r="C40" s="17" t="s">
        <v>300</v>
      </c>
      <c r="D40" s="16" t="s">
        <v>301</v>
      </c>
      <c r="E40" s="17" t="s">
        <v>302</v>
      </c>
      <c r="F40" s="18" t="s">
        <v>3</v>
      </c>
    </row>
    <row r="41" customFormat="false" ht="39.75" hidden="false" customHeight="true" outlineLevel="0" collapsed="false">
      <c r="A41" s="13" t="s">
        <v>303</v>
      </c>
      <c r="B41" s="14" t="s">
        <v>304</v>
      </c>
      <c r="C41" s="14" t="s">
        <v>305</v>
      </c>
      <c r="D41" s="13" t="s">
        <v>306</v>
      </c>
      <c r="E41" s="14" t="s">
        <v>307</v>
      </c>
      <c r="F41" s="15" t="s">
        <v>2</v>
      </c>
    </row>
    <row r="42" customFormat="false" ht="39.75" hidden="false" customHeight="true" outlineLevel="0" collapsed="false">
      <c r="A42" s="16" t="s">
        <v>308</v>
      </c>
      <c r="B42" s="17" t="s">
        <v>309</v>
      </c>
      <c r="C42" s="17" t="s">
        <v>310</v>
      </c>
      <c r="D42" s="16" t="s">
        <v>311</v>
      </c>
      <c r="E42" s="17" t="s">
        <v>312</v>
      </c>
      <c r="F42" s="18" t="s">
        <v>3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2026-03-16T03:36:42Z</dcterms:created>
  <dc:creator>openpyxl</dc:creator>
  <dc:description/>
  <dc:language>en-US</dc:language>
  <cp:lastModifiedBy/>
  <dcterms:modified xsi:type="dcterms:W3CDTF">2026-03-16T03:36:42Z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